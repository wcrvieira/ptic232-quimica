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\11. Projetos TIC - Química - 232\ptic232-quimica\"/>
    </mc:Choice>
  </mc:AlternateContent>
  <xr:revisionPtr revIDLastSave="0" documentId="13_ncr:1_{47B70F49-ECE4-41F0-BD04-8482059EC2B8}" xr6:coauthVersionLast="47" xr6:coauthVersionMax="47" xr10:uidLastSave="{00000000-0000-0000-0000-000000000000}"/>
  <bookViews>
    <workbookView xWindow="20370" yWindow="-120" windowWidth="20730" windowHeight="11040" xr2:uid="{8560CDDB-73D0-445B-B9C1-C7905941B13A}"/>
  </bookViews>
  <sheets>
    <sheet name="Orçamento" sheetId="1" r:id="rId1"/>
  </sheets>
  <definedNames>
    <definedName name="_xlnm.Print_Area" localSheetId="0">Orçamento!$A$1:$K$14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" l="1"/>
  <c r="E10" i="1"/>
  <c r="F10" i="1" s="1"/>
  <c r="H10" i="1" s="1"/>
  <c r="I10" i="1" s="1"/>
  <c r="E8" i="1"/>
  <c r="E7" i="1"/>
  <c r="F7" i="1" s="1"/>
  <c r="H7" i="1" s="1"/>
  <c r="I7" i="1" s="1"/>
  <c r="E6" i="1"/>
  <c r="F6" i="1" s="1"/>
  <c r="F11" i="1"/>
  <c r="E11" i="1"/>
  <c r="F9" i="1"/>
  <c r="H9" i="1" s="1"/>
  <c r="J9" i="1" s="1"/>
  <c r="K9" i="1" s="1"/>
  <c r="F8" i="1"/>
  <c r="H8" i="1" s="1"/>
  <c r="I8" i="1" s="1"/>
  <c r="B2" i="1"/>
  <c r="H6" i="1" l="1"/>
  <c r="I6" i="1" s="1"/>
  <c r="H11" i="1"/>
  <c r="I11" i="1" s="1"/>
  <c r="I9" i="1"/>
  <c r="J8" i="1"/>
  <c r="K8" i="1" s="1"/>
  <c r="J7" i="1"/>
  <c r="K7" i="1" s="1"/>
  <c r="J10" i="1"/>
  <c r="K10" i="1" s="1"/>
  <c r="J6" i="1" l="1"/>
  <c r="K6" i="1" s="1"/>
  <c r="J11" i="1"/>
  <c r="K11" i="1" s="1"/>
  <c r="H12" i="1"/>
  <c r="H14" i="1" s="1"/>
  <c r="J12" i="1" l="1"/>
  <c r="K12" i="1" s="1"/>
  <c r="K14" i="1" s="1"/>
  <c r="I12" i="1"/>
  <c r="I14" i="1" s="1"/>
  <c r="J14" i="1" l="1"/>
</calcChain>
</file>

<file path=xl/sharedStrings.xml><?xml version="1.0" encoding="utf-8"?>
<sst xmlns="http://schemas.openxmlformats.org/spreadsheetml/2006/main" count="43" uniqueCount="39">
  <si>
    <t>Data:</t>
  </si>
  <si>
    <t>Código</t>
  </si>
  <si>
    <t>Item</t>
  </si>
  <si>
    <t>Descrição</t>
  </si>
  <si>
    <t>Quant.</t>
  </si>
  <si>
    <t>00001</t>
  </si>
  <si>
    <t>00003</t>
  </si>
  <si>
    <t>00008</t>
  </si>
  <si>
    <t>00012</t>
  </si>
  <si>
    <t>00015</t>
  </si>
  <si>
    <t>00019</t>
  </si>
  <si>
    <t>Totalização</t>
  </si>
  <si>
    <t>Mundo do brigadeiro - custos e lucros</t>
  </si>
  <si>
    <t>Chocolate em pó</t>
  </si>
  <si>
    <t>Leite condensado</t>
  </si>
  <si>
    <t>Manteiga</t>
  </si>
  <si>
    <t>Chocolate granulado</t>
  </si>
  <si>
    <t>Embalagem</t>
  </si>
  <si>
    <t>Custo unitário</t>
  </si>
  <si>
    <t>Rendimento</t>
  </si>
  <si>
    <t>Custos variáveis</t>
  </si>
  <si>
    <t>-</t>
  </si>
  <si>
    <t>Quantidade</t>
  </si>
  <si>
    <t>00017</t>
  </si>
  <si>
    <t>Creme de Leite</t>
  </si>
  <si>
    <t>Chocolate em pó 50% cacau - 200 gramas</t>
  </si>
  <si>
    <t>Leite condensado - 395 gramas</t>
  </si>
  <si>
    <t>Manteiga sem sal - 200 gramas</t>
  </si>
  <si>
    <t>Creme de leite - 200 gramas</t>
  </si>
  <si>
    <r>
      <rPr>
        <b/>
        <sz val="12"/>
        <color rgb="FF000000"/>
        <rFont val="Tahoma"/>
        <family val="2"/>
      </rPr>
      <t>Receita padrão para 30 brigadeiro</t>
    </r>
    <r>
      <rPr>
        <sz val="12"/>
        <color rgb="FF000000"/>
        <rFont val="Tahoma"/>
        <family val="2"/>
      </rPr>
      <t>s de 15 gramas (12 gramas de massa + 3 gramas de confeito): 395 gramas de leite condensado, 200 gramas de creme de leite, 3 colheres de sopa de chocolate (25g), 1 colher de sopa de manteiga (18g)</t>
    </r>
  </si>
  <si>
    <t>Porção</t>
  </si>
  <si>
    <t>Chocolate granulado - 500 gramas</t>
  </si>
  <si>
    <t>Kit embalagem para brigadeiro - 100 unidades</t>
  </si>
  <si>
    <t>Água, gás, energia elétrica... - 20 a 30% do valor</t>
  </si>
  <si>
    <t>Produção</t>
  </si>
  <si>
    <t>Custo total</t>
  </si>
  <si>
    <t>Lucro total</t>
  </si>
  <si>
    <t>Margem Lucro</t>
  </si>
  <si>
    <t>Margem unitária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</si>
</sst>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_-[$R$-416]\ * #,##0.00_-;\-[$R$-416]\ * #,##0.00_-;_-[$R$-416]\ * &quot;-&quot;??_-;_-@_-"/>
    <numFmt numFmtId="166" formatCode="_-&quot;R$&quot;\ * #,##0.000_-;\-&quot;R$&quot;\ * #,##0.00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ahoma"/>
      <family val="2"/>
    </font>
    <font>
      <b/>
      <sz val="12"/>
      <color indexed="8"/>
      <name val="Tahoma"/>
      <family val="2"/>
    </font>
    <font>
      <b/>
      <sz val="14"/>
      <color indexed="8"/>
      <name val="Tahoma"/>
      <family val="2"/>
    </font>
    <font>
      <b/>
      <sz val="14"/>
      <color theme="1"/>
      <name val="Tahoma"/>
      <family val="2"/>
    </font>
    <font>
      <b/>
      <sz val="16"/>
      <name val="Tahoma"/>
      <family val="2"/>
    </font>
    <font>
      <sz val="12"/>
      <color indexed="8"/>
      <name val="Tahoma"/>
      <family val="2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  <font>
      <b/>
      <sz val="12"/>
      <color theme="1"/>
      <name val="Tahoma"/>
      <family val="2"/>
    </font>
    <font>
      <b/>
      <sz val="14"/>
      <color rgb="FF000000"/>
      <name val="Tahoma"/>
      <family val="2"/>
    </font>
    <font>
      <b/>
      <sz val="1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/>
    <xf numFmtId="0" fontId="8" fillId="0" borderId="12" xfId="2" applyFont="1" applyBorder="1" applyAlignment="1" applyProtection="1">
      <alignment horizontal="center" vertical="center"/>
      <protection locked="0"/>
    </xf>
    <xf numFmtId="0" fontId="8" fillId="0" borderId="13" xfId="2" applyFont="1" applyBorder="1" applyAlignment="1" applyProtection="1">
      <alignment vertical="center"/>
      <protection locked="0"/>
    </xf>
    <xf numFmtId="0" fontId="11" fillId="0" borderId="13" xfId="2" applyFont="1" applyBorder="1" applyAlignment="1" applyProtection="1">
      <alignment vertical="center"/>
      <protection locked="0"/>
    </xf>
    <xf numFmtId="0" fontId="8" fillId="0" borderId="13" xfId="2" applyFont="1" applyBorder="1" applyAlignment="1" applyProtection="1">
      <alignment horizontal="center" vertical="center"/>
      <protection locked="0"/>
    </xf>
    <xf numFmtId="4" fontId="8" fillId="0" borderId="13" xfId="2" applyNumberFormat="1" applyFont="1" applyBorder="1" applyAlignment="1" applyProtection="1">
      <alignment horizontal="center" vertical="center"/>
      <protection locked="0"/>
    </xf>
    <xf numFmtId="0" fontId="10" fillId="0" borderId="13" xfId="0" applyFont="1" applyBorder="1"/>
    <xf numFmtId="4" fontId="4" fillId="2" borderId="6" xfId="4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4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2" xfId="1" applyFont="1" applyBorder="1" applyAlignment="1">
      <alignment vertical="center"/>
    </xf>
    <xf numFmtId="44" fontId="10" fillId="0" borderId="0" xfId="5" applyFont="1" applyBorder="1" applyAlignment="1">
      <alignment horizontal="center" vertical="center"/>
    </xf>
    <xf numFmtId="0" fontId="10" fillId="0" borderId="0" xfId="5" applyNumberFormat="1" applyFont="1" applyBorder="1" applyAlignment="1">
      <alignment horizontal="center" vertical="center"/>
    </xf>
    <xf numFmtId="164" fontId="10" fillId="0" borderId="0" xfId="5" applyNumberFormat="1" applyFont="1" applyBorder="1" applyAlignment="1">
      <alignment horizontal="center" vertical="center"/>
    </xf>
    <xf numFmtId="1" fontId="10" fillId="0" borderId="0" xfId="5" applyNumberFormat="1" applyFont="1" applyBorder="1" applyAlignment="1">
      <alignment horizontal="center" vertical="center"/>
    </xf>
    <xf numFmtId="44" fontId="6" fillId="0" borderId="7" xfId="5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9" fontId="13" fillId="0" borderId="14" xfId="0" applyNumberFormat="1" applyFont="1" applyBorder="1" applyAlignment="1">
      <alignment horizontal="center" vertical="center"/>
    </xf>
    <xf numFmtId="166" fontId="10" fillId="0" borderId="0" xfId="1" applyNumberFormat="1" applyFon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6" fillId="0" borderId="3" xfId="0" applyNumberFormat="1" applyFont="1" applyBorder="1" applyAlignment="1">
      <alignment horizontal="right" vertical="center"/>
    </xf>
    <xf numFmtId="49" fontId="6" fillId="0" borderId="4" xfId="0" applyNumberFormat="1" applyFont="1" applyBorder="1" applyAlignment="1">
      <alignment horizontal="right" vertical="center"/>
    </xf>
    <xf numFmtId="0" fontId="7" fillId="0" borderId="6" xfId="2" applyFont="1" applyBorder="1" applyAlignment="1" applyProtection="1">
      <alignment horizontal="center" vertical="center"/>
      <protection locked="0"/>
    </xf>
    <xf numFmtId="0" fontId="7" fillId="0" borderId="9" xfId="2" applyFont="1" applyBorder="1" applyAlignment="1" applyProtection="1">
      <alignment horizontal="center" vertical="center"/>
      <protection locked="0"/>
    </xf>
    <xf numFmtId="17" fontId="12" fillId="0" borderId="11" xfId="3" applyNumberFormat="1" applyFont="1" applyBorder="1" applyAlignment="1">
      <alignment horizontal="left" vertical="center" wrapText="1"/>
    </xf>
    <xf numFmtId="17" fontId="12" fillId="0" borderId="13" xfId="3" applyNumberFormat="1" applyFont="1" applyBorder="1" applyAlignment="1">
      <alignment horizontal="left" vertical="center" wrapText="1"/>
    </xf>
    <xf numFmtId="0" fontId="8" fillId="0" borderId="10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14" fontId="5" fillId="0" borderId="11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44" fontId="3" fillId="0" borderId="0" xfId="5" applyFont="1" applyAlignment="1">
      <alignment vertical="center"/>
    </xf>
    <xf numFmtId="2" fontId="10" fillId="0" borderId="0" xfId="5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4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4" fillId="0" borderId="19" xfId="3" applyNumberFormat="1" applyFon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/>
    </xf>
    <xf numFmtId="0" fontId="14" fillId="0" borderId="21" xfId="3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4" fontId="10" fillId="0" borderId="0" xfId="5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15" fillId="0" borderId="16" xfId="2" applyFont="1" applyBorder="1" applyAlignment="1" applyProtection="1">
      <alignment vertical="center"/>
      <protection locked="0"/>
    </xf>
    <xf numFmtId="0" fontId="15" fillId="0" borderId="17" xfId="2" applyFont="1" applyBorder="1" applyAlignment="1" applyProtection="1">
      <alignment vertical="center"/>
      <protection locked="0"/>
    </xf>
    <xf numFmtId="0" fontId="6" fillId="0" borderId="18" xfId="0" applyFont="1" applyBorder="1" applyAlignment="1">
      <alignment horizontal="center" vertical="center" wrapText="1"/>
    </xf>
  </cellXfs>
  <cellStyles count="6">
    <cellStyle name="Moeda" xfId="5" builtinId="4"/>
    <cellStyle name="Normal" xfId="0" builtinId="0"/>
    <cellStyle name="Normal_Modelo de planilha orçamento PJ Ceilândia" xfId="4" xr:uid="{57460FC3-C4C9-40EC-906D-39C0124238E3}"/>
    <cellStyle name="Normal_Orç 041_2009 Adaptação Copa PJ Ceilândia" xfId="2" xr:uid="{957AD1D9-26AE-4DC9-A7D9-042F76F0EB51}"/>
    <cellStyle name="Normal_Orç 041_2009 Adaptação Copa PJ Ceilândia_Orçamento Sintético" xfId="3" xr:uid="{BAE10561-19B2-4033-9AF1-EF7EA2B35E7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85D-83F0-4D6C-8F59-A804CD0D0936}">
  <dimension ref="A1:K14"/>
  <sheetViews>
    <sheetView tabSelected="1" topLeftCell="B1" zoomScaleNormal="100" workbookViewId="0">
      <selection activeCell="E10" sqref="E10"/>
    </sheetView>
  </sheetViews>
  <sheetFormatPr defaultRowHeight="14.25" x14ac:dyDescent="0.2"/>
  <cols>
    <col min="1" max="1" width="10.140625" style="2" customWidth="1"/>
    <col min="2" max="2" width="22.42578125" style="1" bestFit="1" customWidth="1"/>
    <col min="3" max="3" width="53" style="1" bestFit="1" customWidth="1"/>
    <col min="4" max="4" width="9.28515625" style="1" bestFit="1" customWidth="1"/>
    <col min="5" max="5" width="15.5703125" style="2" bestFit="1" customWidth="1"/>
    <col min="6" max="6" width="13.7109375" style="2" bestFit="1" customWidth="1"/>
    <col min="7" max="7" width="16.28515625" style="2" customWidth="1"/>
    <col min="8" max="8" width="16" style="1" bestFit="1" customWidth="1"/>
    <col min="9" max="10" width="18" style="1" bestFit="1" customWidth="1"/>
    <col min="11" max="11" width="14.28515625" style="1" bestFit="1" customWidth="1"/>
    <col min="12" max="16384" width="9.140625" style="1"/>
  </cols>
  <sheetData>
    <row r="1" spans="1:11" ht="36.75" thickBot="1" x14ac:dyDescent="0.25">
      <c r="A1" s="33" t="s">
        <v>12</v>
      </c>
      <c r="B1" s="34"/>
      <c r="C1" s="34"/>
      <c r="D1" s="34"/>
      <c r="E1" s="34"/>
      <c r="F1" s="34"/>
      <c r="G1" s="34"/>
      <c r="H1" s="34"/>
      <c r="I1" s="53" t="s">
        <v>22</v>
      </c>
      <c r="J1" s="54" t="s">
        <v>34</v>
      </c>
      <c r="K1" s="55" t="s">
        <v>37</v>
      </c>
    </row>
    <row r="2" spans="1:11" s="3" customFormat="1" ht="25.5" customHeight="1" x14ac:dyDescent="0.25">
      <c r="A2" s="37" t="s">
        <v>0</v>
      </c>
      <c r="B2" s="39">
        <f ca="1">TODAY()</f>
        <v>46189</v>
      </c>
      <c r="C2" s="35" t="s">
        <v>29</v>
      </c>
      <c r="D2" s="35"/>
      <c r="E2" s="35"/>
      <c r="F2" s="35"/>
      <c r="G2" s="35"/>
      <c r="H2" s="35"/>
      <c r="I2" s="46">
        <v>30</v>
      </c>
      <c r="J2" s="45">
        <v>30</v>
      </c>
      <c r="K2" s="47">
        <v>3</v>
      </c>
    </row>
    <row r="3" spans="1:11" s="3" customFormat="1" ht="25.5" customHeight="1" thickBot="1" x14ac:dyDescent="0.3">
      <c r="A3" s="38"/>
      <c r="B3" s="40"/>
      <c r="C3" s="36"/>
      <c r="D3" s="36"/>
      <c r="E3" s="36"/>
      <c r="F3" s="36"/>
      <c r="G3" s="36"/>
      <c r="H3" s="36"/>
      <c r="I3" s="48"/>
      <c r="J3" s="49"/>
      <c r="K3" s="50"/>
    </row>
    <row r="4" spans="1:11" ht="9.75" customHeight="1" thickBot="1" x14ac:dyDescent="0.25">
      <c r="A4" s="6"/>
      <c r="B4" s="7"/>
      <c r="C4" s="8"/>
      <c r="D4" s="8"/>
      <c r="E4" s="9"/>
      <c r="F4" s="10"/>
      <c r="G4" s="10"/>
      <c r="H4" s="11"/>
      <c r="I4" s="11"/>
      <c r="J4" s="11"/>
      <c r="K4" s="25"/>
    </row>
    <row r="5" spans="1:11" ht="30.75" thickBot="1" x14ac:dyDescent="0.25">
      <c r="A5" s="12" t="s">
        <v>1</v>
      </c>
      <c r="B5" s="13" t="s">
        <v>2</v>
      </c>
      <c r="C5" s="13" t="s">
        <v>3</v>
      </c>
      <c r="D5" s="13" t="s">
        <v>30</v>
      </c>
      <c r="E5" s="14" t="s">
        <v>19</v>
      </c>
      <c r="F5" s="14" t="s">
        <v>4</v>
      </c>
      <c r="G5" s="14" t="s">
        <v>18</v>
      </c>
      <c r="H5" s="14" t="s">
        <v>35</v>
      </c>
      <c r="I5" s="14" t="s">
        <v>18</v>
      </c>
      <c r="J5" s="14" t="s">
        <v>38</v>
      </c>
      <c r="K5" s="15" t="s">
        <v>36</v>
      </c>
    </row>
    <row r="6" spans="1:11" s="3" customFormat="1" ht="25.5" customHeight="1" x14ac:dyDescent="0.25">
      <c r="A6" s="16" t="s">
        <v>5</v>
      </c>
      <c r="B6" s="17" t="s">
        <v>13</v>
      </c>
      <c r="C6" s="17" t="s">
        <v>25</v>
      </c>
      <c r="D6" s="43">
        <v>200</v>
      </c>
      <c r="E6" s="22">
        <f>(D6/25*I2)*(J2/I2)</f>
        <v>240</v>
      </c>
      <c r="F6" s="42">
        <f>$J$2/E6</f>
        <v>0.125</v>
      </c>
      <c r="G6" s="19">
        <v>36</v>
      </c>
      <c r="H6" s="19">
        <f>F6*G6</f>
        <v>4.5</v>
      </c>
      <c r="I6" s="26">
        <f>H6/$J$2</f>
        <v>0.15</v>
      </c>
      <c r="J6" s="51">
        <f>H6*$K$2</f>
        <v>13.5</v>
      </c>
      <c r="K6" s="18">
        <f>J6/$J$2</f>
        <v>0.45</v>
      </c>
    </row>
    <row r="7" spans="1:11" s="3" customFormat="1" ht="25.5" customHeight="1" x14ac:dyDescent="0.25">
      <c r="A7" s="16" t="s">
        <v>6</v>
      </c>
      <c r="B7" s="17" t="s">
        <v>14</v>
      </c>
      <c r="C7" s="17" t="s">
        <v>26</v>
      </c>
      <c r="D7" s="43">
        <v>395</v>
      </c>
      <c r="E7" s="20">
        <f>I2*(J2/I2)</f>
        <v>30</v>
      </c>
      <c r="F7" s="42">
        <f t="shared" ref="F7:F11" si="0">$J$2/E7</f>
        <v>1</v>
      </c>
      <c r="G7" s="19">
        <v>8</v>
      </c>
      <c r="H7" s="19">
        <f t="shared" ref="H7:H12" si="1">F7*G7</f>
        <v>8</v>
      </c>
      <c r="I7" s="26">
        <f>H7/$J$2</f>
        <v>0.26666666666666666</v>
      </c>
      <c r="J7" s="51">
        <f>H7*$K$2</f>
        <v>24</v>
      </c>
      <c r="K7" s="18">
        <f>J7/$J$2</f>
        <v>0.8</v>
      </c>
    </row>
    <row r="8" spans="1:11" s="3" customFormat="1" ht="25.5" customHeight="1" x14ac:dyDescent="0.25">
      <c r="A8" s="16" t="s">
        <v>7</v>
      </c>
      <c r="B8" s="17" t="s">
        <v>24</v>
      </c>
      <c r="C8" s="17" t="s">
        <v>28</v>
      </c>
      <c r="D8" s="43">
        <v>200</v>
      </c>
      <c r="E8" s="20">
        <f>I2*(J2/I2)</f>
        <v>30</v>
      </c>
      <c r="F8" s="42">
        <f t="shared" si="0"/>
        <v>1</v>
      </c>
      <c r="G8" s="41">
        <v>6.5</v>
      </c>
      <c r="H8" s="19">
        <f t="shared" si="1"/>
        <v>6.5</v>
      </c>
      <c r="I8" s="26">
        <f>H8/$J$2</f>
        <v>0.21666666666666667</v>
      </c>
      <c r="J8" s="51">
        <f>H8*$K$2</f>
        <v>19.5</v>
      </c>
      <c r="K8" s="18">
        <f>J8/$J$2</f>
        <v>0.65</v>
      </c>
    </row>
    <row r="9" spans="1:11" s="3" customFormat="1" ht="25.5" customHeight="1" x14ac:dyDescent="0.25">
      <c r="A9" s="16" t="s">
        <v>8</v>
      </c>
      <c r="B9" s="17" t="s">
        <v>15</v>
      </c>
      <c r="C9" s="17" t="s">
        <v>27</v>
      </c>
      <c r="D9" s="43">
        <v>200</v>
      </c>
      <c r="E9" s="22">
        <f>(D9/18*I2)*(J2/I2)</f>
        <v>333.33333333333331</v>
      </c>
      <c r="F9" s="42">
        <f t="shared" si="0"/>
        <v>9.0000000000000011E-2</v>
      </c>
      <c r="G9" s="19">
        <v>14.99</v>
      </c>
      <c r="H9" s="19">
        <f t="shared" si="1"/>
        <v>1.3491000000000002</v>
      </c>
      <c r="I9" s="26">
        <f>H9/$J$2</f>
        <v>4.4970000000000003E-2</v>
      </c>
      <c r="J9" s="51">
        <f>H9*$K$2</f>
        <v>4.0473000000000008</v>
      </c>
      <c r="K9" s="18">
        <f>J9/$J$2</f>
        <v>0.13491000000000003</v>
      </c>
    </row>
    <row r="10" spans="1:11" s="3" customFormat="1" ht="25.5" customHeight="1" x14ac:dyDescent="0.25">
      <c r="A10" s="16" t="s">
        <v>9</v>
      </c>
      <c r="B10" s="17" t="s">
        <v>16</v>
      </c>
      <c r="C10" s="17" t="s">
        <v>31</v>
      </c>
      <c r="D10" s="43">
        <v>500</v>
      </c>
      <c r="E10" s="42">
        <f>D10/(J2/I2)</f>
        <v>500</v>
      </c>
      <c r="F10" s="42">
        <f t="shared" si="0"/>
        <v>0.06</v>
      </c>
      <c r="G10" s="19">
        <v>23.9</v>
      </c>
      <c r="H10" s="19">
        <f t="shared" si="1"/>
        <v>1.4339999999999999</v>
      </c>
      <c r="I10" s="26">
        <f>H10/$J$2</f>
        <v>4.7799999999999995E-2</v>
      </c>
      <c r="J10" s="51">
        <f>H10*$K$2</f>
        <v>4.3019999999999996</v>
      </c>
      <c r="K10" s="18">
        <f>J10/$J$2</f>
        <v>0.1434</v>
      </c>
    </row>
    <row r="11" spans="1:11" s="3" customFormat="1" ht="25.5" customHeight="1" x14ac:dyDescent="0.25">
      <c r="A11" s="16" t="s">
        <v>23</v>
      </c>
      <c r="B11" s="17" t="s">
        <v>17</v>
      </c>
      <c r="C11" s="17" t="s">
        <v>32</v>
      </c>
      <c r="D11" s="43">
        <v>100</v>
      </c>
      <c r="E11" s="42">
        <f>J2/D11</f>
        <v>0.3</v>
      </c>
      <c r="F11" s="42">
        <f>$J$2/D11</f>
        <v>0.3</v>
      </c>
      <c r="G11" s="19">
        <v>32.9</v>
      </c>
      <c r="H11" s="19">
        <f t="shared" si="1"/>
        <v>9.8699999999999992</v>
      </c>
      <c r="I11" s="26">
        <f>H11/$J$2</f>
        <v>0.32899999999999996</v>
      </c>
      <c r="J11" s="51">
        <f>H11*$K$2</f>
        <v>29.61</v>
      </c>
      <c r="K11" s="18">
        <f>J11/$J$2</f>
        <v>0.98699999999999999</v>
      </c>
    </row>
    <row r="12" spans="1:11" s="3" customFormat="1" ht="25.5" customHeight="1" x14ac:dyDescent="0.25">
      <c r="A12" s="16" t="s">
        <v>10</v>
      </c>
      <c r="B12" s="17" t="s">
        <v>20</v>
      </c>
      <c r="C12" s="17" t="s">
        <v>33</v>
      </c>
      <c r="D12" s="43" t="s">
        <v>21</v>
      </c>
      <c r="E12" s="20" t="s">
        <v>21</v>
      </c>
      <c r="F12" s="21" t="s">
        <v>21</v>
      </c>
      <c r="G12" s="19" t="s">
        <v>21</v>
      </c>
      <c r="H12" s="19">
        <f>SUM(H6:H11)*25%</f>
        <v>7.9132750000000005</v>
      </c>
      <c r="I12" s="26">
        <f>H12/$J$2</f>
        <v>0.26377583333333338</v>
      </c>
      <c r="J12" s="51">
        <f>H12*$K$2</f>
        <v>23.739825000000003</v>
      </c>
      <c r="K12" s="18">
        <f>J12/$J$2</f>
        <v>0.79132750000000007</v>
      </c>
    </row>
    <row r="13" spans="1:11" ht="10.5" customHeight="1" thickBot="1" x14ac:dyDescent="0.25">
      <c r="A13" s="29"/>
      <c r="B13" s="30"/>
      <c r="C13" s="30"/>
      <c r="D13" s="30"/>
      <c r="E13" s="30"/>
      <c r="F13" s="30"/>
      <c r="G13" s="30"/>
      <c r="K13" s="5"/>
    </row>
    <row r="14" spans="1:11" ht="24.75" customHeight="1" thickBot="1" x14ac:dyDescent="0.25">
      <c r="A14" s="31" t="s">
        <v>11</v>
      </c>
      <c r="B14" s="32"/>
      <c r="C14" s="32"/>
      <c r="D14" s="44"/>
      <c r="E14" s="52"/>
      <c r="F14" s="4"/>
      <c r="G14" s="4"/>
      <c r="H14" s="24">
        <f>SUM(H6:H13)</f>
        <v>39.566375000000001</v>
      </c>
      <c r="I14" s="27">
        <f>SUM(I6:I12)</f>
        <v>1.3188791666666666</v>
      </c>
      <c r="J14" s="23">
        <f>SUM(J6:J12)</f>
        <v>118.69912500000001</v>
      </c>
      <c r="K14" s="28">
        <f>SUM(K6:K12)</f>
        <v>3.9566375000000003</v>
      </c>
    </row>
  </sheetData>
  <mergeCells count="9">
    <mergeCell ref="I2:I3"/>
    <mergeCell ref="J2:J3"/>
    <mergeCell ref="K2:K3"/>
    <mergeCell ref="A13:G13"/>
    <mergeCell ref="A14:C14"/>
    <mergeCell ref="A2:A3"/>
    <mergeCell ref="B2:B3"/>
    <mergeCell ref="C2:H3"/>
    <mergeCell ref="A1:H1"/>
  </mergeCells>
  <pageMargins left="0.511811024" right="0.511811024" top="0.78740157499999996" bottom="0.78740157499999996" header="0.31496062000000002" footer="0.31496062000000002"/>
  <pageSetup paperSize="9" scale="82" orientation="landscape" r:id="rId1"/>
  <ignoredErrors>
    <ignoredError sqref="J6:J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Orçamento</vt:lpstr>
      <vt:lpstr>Orçamento!Area_de_impressao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Cesar Vieira</cp:lastModifiedBy>
  <cp:lastPrinted>2020-03-10T23:27:28Z</cp:lastPrinted>
  <dcterms:created xsi:type="dcterms:W3CDTF">2020-03-10T23:21:32Z</dcterms:created>
  <dcterms:modified xsi:type="dcterms:W3CDTF">2026-06-17T00:03:37Z</dcterms:modified>
</cp:coreProperties>
</file>